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Clean" sheetId="3" state="visible" r:id="rId3"/>
    <sheet xmlns:r="http://schemas.openxmlformats.org/officeDocument/2006/relationships" name="Summary" sheetId="4" state="visible" r:id="rId4"/>
  </sheets>
  <definedNames>
    <definedName name="_xlnm._FilterDatabase" localSheetId="0" hidden="1">'Raw'!$A$1:$F$14</definedName>
  </definedNames>
  <calcPr calcId="124519" calcMode="auto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  <sz val="14"/>
    </font>
    <font>
      <b val="1"/>
    </font>
    <font>
      <b val="1"/>
      <sz val="16"/>
    </font>
    <font>
      <i val="1"/>
      <color rgb="00666666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1" fontId="0" fillId="0" borderId="0" applyAlignment="1" pivotButton="0" quotePrefix="0" xfId="0">
      <alignment vertical="center"/>
    </xf>
    <xf numFmtId="2" fontId="0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Resolution Hours by Department and Month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'Summary'!$A$12:$A$13</f>
            </numRef>
          </cat>
          <val>
            <numRef>
              <f>'Summary'!$B$12:$B$13</f>
            </numRef>
          </val>
        </ser>
        <ser>
          <idx val="1"/>
          <order val="1"/>
          <tx>
            <strRef>
              <f>'Summary'!C11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'Summary'!$A$12:$A$13</f>
            </numRef>
          </cat>
          <val>
            <numRef>
              <f>'Summary'!$C$12:$C$13</f>
            </numRef>
          </val>
        </ser>
        <ser>
          <idx val="2"/>
          <order val="2"/>
          <tx>
            <strRef>
              <f>'Summary'!D11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'Summary'!$A$12:$A$13</f>
            </numRef>
          </cat>
          <val>
            <numRef>
              <f>'Summary'!$D$12:$D$13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Department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Resolution Hours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40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Tickets" displayName="RawTickets" ref="A1:F14" headerRowCount="1">
  <autoFilter ref="A1:F14"/>
  <tableColumns count="6">
    <tableColumn id="1" name="ticket_id"/>
    <tableColumn id="2" name="month"/>
    <tableColumn id="3" name="team_id"/>
    <tableColumn id="4" name="channel"/>
    <tableColumn id="5" name="resolution_hours"/>
    <tableColumn id="6" name="satisfaction"/>
  </tableColumns>
  <tableStyleInfo name="TableStyleMedium2" showRowStripes="1"/>
</table>
</file>

<file path=xl/tables/table2.xml><?xml version="1.0" encoding="utf-8"?>
<table xmlns="http://schemas.openxmlformats.org/spreadsheetml/2006/main" id="2" name="TeamLookup" displayName="TeamLookup" ref="A1:C5" headerRowCount="1">
  <autoFilter ref="A1:C5"/>
  <tableColumns count="3">
    <tableColumn id="1" name="team_id"/>
    <tableColumn id="2" name="team"/>
    <tableColumn id="3" name="department"/>
  </tableColumns>
  <tableStyleInfo name="TableStyleMedium4" showRowStripes="1"/>
</table>
</file>

<file path=xl/tables/table3.xml><?xml version="1.0" encoding="utf-8"?>
<table xmlns="http://schemas.openxmlformats.org/spreadsheetml/2006/main" id="3" name="CleanTickets" displayName="CleanTickets" ref="A1:H13" headerRowCount="1">
  <autoFilter ref="A1:H13"/>
  <tableColumns count="8">
    <tableColumn id="1" name="ticket_id"/>
    <tableColumn id="2" name="month"/>
    <tableColumn id="3" name="team_id"/>
    <tableColumn id="4" name="channel"/>
    <tableColumn id="5" name="resolution_hours"/>
    <tableColumn id="6" name="satisfaction"/>
    <tableColumn id="7" name="department"/>
    <tableColumn id="8" name="breach_flag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8" customWidth="1" min="5" max="5"/>
    <col width="14" customWidth="1" min="6" max="6"/>
  </cols>
  <sheetData>
    <row r="1">
      <c r="A1" s="1" t="inlineStr">
        <is>
          <t>ticket_id</t>
        </is>
      </c>
      <c r="B1" s="1" t="inlineStr">
        <is>
          <t>month</t>
        </is>
      </c>
      <c r="C1" s="1" t="inlineStr">
        <is>
          <t>team_id</t>
        </is>
      </c>
      <c r="D1" s="1" t="inlineStr">
        <is>
          <t>channel</t>
        </is>
      </c>
      <c r="E1" s="1" t="inlineStr">
        <is>
          <t>resolution_hours</t>
        </is>
      </c>
      <c r="F1" s="1" t="inlineStr">
        <is>
          <t>satisfaction</t>
        </is>
      </c>
    </row>
    <row r="2">
      <c r="A2" s="2" t="n">
        <v>1</v>
      </c>
      <c r="B2" s="2" t="inlineStr">
        <is>
          <t>Jan</t>
        </is>
      </c>
      <c r="C2" s="2" t="inlineStr">
        <is>
          <t>T1</t>
        </is>
      </c>
      <c r="D2" s="2" t="inlineStr">
        <is>
          <t>Email</t>
        </is>
      </c>
      <c r="E2" s="2" t="n">
        <v>12</v>
      </c>
      <c r="F2" s="2" t="n">
        <v>4</v>
      </c>
    </row>
    <row r="3">
      <c r="A3" s="2" t="n">
        <v>2</v>
      </c>
      <c r="B3" s="2" t="inlineStr">
        <is>
          <t>Jan</t>
        </is>
      </c>
      <c r="C3" s="2" t="inlineStr">
        <is>
          <t>T2</t>
        </is>
      </c>
      <c r="D3" s="2" t="inlineStr">
        <is>
          <t>Chat</t>
        </is>
      </c>
      <c r="E3" s="2" t="n">
        <v>28</v>
      </c>
      <c r="F3" s="2" t="n">
        <v>3</v>
      </c>
    </row>
    <row r="4">
      <c r="A4" s="2" t="n">
        <v>3</v>
      </c>
      <c r="B4" s="2" t="inlineStr">
        <is>
          <t>Jan</t>
        </is>
      </c>
      <c r="C4" s="2" t="inlineStr">
        <is>
          <t>T3</t>
        </is>
      </c>
      <c r="D4" s="2" t="inlineStr">
        <is>
          <t>Phone</t>
        </is>
      </c>
      <c r="E4" s="2" t="n">
        <v>36</v>
      </c>
      <c r="F4" s="2" t="n">
        <v>2</v>
      </c>
    </row>
    <row r="5">
      <c r="A5" s="2" t="n">
        <v>4</v>
      </c>
      <c r="B5" s="2" t="inlineStr">
        <is>
          <t>Jan</t>
        </is>
      </c>
      <c r="C5" s="2" t="inlineStr">
        <is>
          <t>T4</t>
        </is>
      </c>
      <c r="D5" s="2" t="inlineStr">
        <is>
          <t>Email</t>
        </is>
      </c>
      <c r="E5" s="2" t="n">
        <v>20</v>
      </c>
      <c r="F5" s="2" t="n">
        <v>4</v>
      </c>
    </row>
    <row r="6">
      <c r="A6" s="2" t="n">
        <v>5</v>
      </c>
      <c r="B6" s="2" t="inlineStr">
        <is>
          <t>Feb</t>
        </is>
      </c>
      <c r="C6" s="2" t="inlineStr">
        <is>
          <t>T1</t>
        </is>
      </c>
      <c r="D6" s="2" t="inlineStr">
        <is>
          <t>Chat</t>
        </is>
      </c>
      <c r="E6" s="2" t="n">
        <v>8</v>
      </c>
      <c r="F6" s="2" t="n">
        <v>5</v>
      </c>
    </row>
    <row r="7">
      <c r="A7" s="2" t="n">
        <v>6</v>
      </c>
      <c r="B7" s="2" t="inlineStr">
        <is>
          <t>Feb</t>
        </is>
      </c>
      <c r="C7" s="2" t="inlineStr">
        <is>
          <t>T2</t>
        </is>
      </c>
      <c r="D7" s="2" t="inlineStr">
        <is>
          <t>Phone</t>
        </is>
      </c>
      <c r="E7" s="2" t="n">
        <v>30</v>
      </c>
      <c r="F7" s="2" t="n">
        <v>3</v>
      </c>
    </row>
    <row r="8">
      <c r="A8" s="2" t="n">
        <v>7</v>
      </c>
      <c r="B8" s="2" t="inlineStr">
        <is>
          <t>Feb</t>
        </is>
      </c>
      <c r="C8" s="2" t="inlineStr">
        <is>
          <t>T3</t>
        </is>
      </c>
      <c r="D8" s="2" t="inlineStr">
        <is>
          <t>Email</t>
        </is>
      </c>
      <c r="E8" s="2" t="n">
        <v>18</v>
      </c>
      <c r="F8" s="2" t="n">
        <v>4</v>
      </c>
    </row>
    <row r="9">
      <c r="A9" s="2" t="n">
        <v>8</v>
      </c>
      <c r="B9" s="2" t="inlineStr">
        <is>
          <t>Feb</t>
        </is>
      </c>
      <c r="C9" s="2" t="inlineStr">
        <is>
          <t>T4</t>
        </is>
      </c>
      <c r="D9" s="2" t="inlineStr">
        <is>
          <t>Chat</t>
        </is>
      </c>
      <c r="E9" s="2" t="n">
        <v>40</v>
      </c>
      <c r="F9" s="2" t="n">
        <v>2</v>
      </c>
    </row>
    <row r="10">
      <c r="A10" s="2" t="n">
        <v>9</v>
      </c>
      <c r="B10" s="2" t="inlineStr">
        <is>
          <t>Mar</t>
        </is>
      </c>
      <c r="C10" s="2" t="inlineStr">
        <is>
          <t>T1</t>
        </is>
      </c>
      <c r="D10" s="2" t="inlineStr">
        <is>
          <t>Phone</t>
        </is>
      </c>
      <c r="E10" s="2" t="n">
        <v>16</v>
      </c>
      <c r="F10" s="2" t="n">
        <v>4</v>
      </c>
    </row>
    <row r="11">
      <c r="A11" s="2" t="n">
        <v>10</v>
      </c>
      <c r="B11" s="2" t="inlineStr">
        <is>
          <t>Mar</t>
        </is>
      </c>
      <c r="C11" s="2" t="inlineStr">
        <is>
          <t>T2</t>
        </is>
      </c>
      <c r="D11" s="2" t="inlineStr">
        <is>
          <t>Email</t>
        </is>
      </c>
      <c r="E11" s="2" t="n">
        <v>22</v>
      </c>
      <c r="F11" s="2" t="n">
        <v>4</v>
      </c>
    </row>
    <row r="12">
      <c r="A12" s="2" t="n">
        <v>11</v>
      </c>
      <c r="B12" s="2" t="inlineStr">
        <is>
          <t>Mar</t>
        </is>
      </c>
      <c r="C12" s="2" t="inlineStr">
        <is>
          <t>T3</t>
        </is>
      </c>
      <c r="D12" s="2" t="inlineStr">
        <is>
          <t>Chat</t>
        </is>
      </c>
      <c r="E12" s="2" t="n">
        <v>32</v>
      </c>
      <c r="F12" s="2" t="n">
        <v>3</v>
      </c>
    </row>
    <row r="13">
      <c r="A13" s="2" t="n">
        <v>12</v>
      </c>
      <c r="B13" s="2" t="inlineStr">
        <is>
          <t>Mar</t>
        </is>
      </c>
      <c r="C13" s="2" t="inlineStr">
        <is>
          <t>T4</t>
        </is>
      </c>
      <c r="D13" s="2" t="inlineStr">
        <is>
          <t>Phone</t>
        </is>
      </c>
      <c r="E13" s="2" t="n">
        <v>24</v>
      </c>
      <c r="F13" s="2" t="n">
        <v>5</v>
      </c>
    </row>
    <row r="14">
      <c r="A14" s="2" t="n">
        <v>12</v>
      </c>
      <c r="B14" s="2" t="inlineStr">
        <is>
          <t>Mar</t>
        </is>
      </c>
      <c r="C14" s="2" t="inlineStr">
        <is>
          <t>T4</t>
        </is>
      </c>
      <c r="D14" s="2" t="inlineStr">
        <is>
          <t>Phone</t>
        </is>
      </c>
      <c r="E14" s="2" t="n">
        <v>24</v>
      </c>
      <c r="F14" s="2" t="n">
        <v>5</v>
      </c>
    </row>
  </sheetData>
  <autoFilter ref="A1:F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2" customWidth="1" min="3" max="3"/>
  </cols>
  <sheetData>
    <row r="1">
      <c r="A1" s="1" t="inlineStr">
        <is>
          <t>team_id</t>
        </is>
      </c>
      <c r="B1" s="1" t="inlineStr">
        <is>
          <t>team</t>
        </is>
      </c>
      <c r="C1" s="1" t="inlineStr">
        <is>
          <t>department</t>
        </is>
      </c>
    </row>
    <row r="2">
      <c r="A2" s="2" t="inlineStr">
        <is>
          <t>T1</t>
        </is>
      </c>
      <c r="B2" s="2" t="inlineStr">
        <is>
          <t>AccountCare</t>
        </is>
      </c>
      <c r="C2" s="2" t="inlineStr">
        <is>
          <t>Service</t>
        </is>
      </c>
    </row>
    <row r="3">
      <c r="A3" s="2" t="inlineStr">
        <is>
          <t>T2</t>
        </is>
      </c>
      <c r="B3" s="2" t="inlineStr">
        <is>
          <t>BillingHelp</t>
        </is>
      </c>
      <c r="C3" s="2" t="inlineStr">
        <is>
          <t>Service</t>
        </is>
      </c>
    </row>
    <row r="4">
      <c r="A4" s="2" t="inlineStr">
        <is>
          <t>T3</t>
        </is>
      </c>
      <c r="B4" s="2" t="inlineStr">
        <is>
          <t>AppSupport</t>
        </is>
      </c>
      <c r="C4" s="2" t="inlineStr">
        <is>
          <t>Technical</t>
        </is>
      </c>
    </row>
    <row r="5">
      <c r="A5" s="2" t="inlineStr">
        <is>
          <t>T4</t>
        </is>
      </c>
      <c r="B5" s="2" t="inlineStr">
        <is>
          <t>DeviceHelp</t>
        </is>
      </c>
      <c r="C5" s="2" t="inlineStr">
        <is>
          <t>Technical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8" customWidth="1" min="5" max="5"/>
    <col width="14" customWidth="1" min="6" max="6"/>
    <col width="28" customWidth="1" min="7" max="7"/>
    <col width="17" customWidth="1" min="8" max="8"/>
    <col width="11" customWidth="1" min="9" max="9"/>
    <col width="20" customWidth="1" min="10" max="10"/>
    <col width="11" customWidth="1" min="11" max="11"/>
  </cols>
  <sheetData>
    <row r="1">
      <c r="A1" s="1" t="inlineStr">
        <is>
          <t>ticket_id</t>
        </is>
      </c>
      <c r="B1" s="1" t="inlineStr">
        <is>
          <t>month</t>
        </is>
      </c>
      <c r="C1" s="1" t="inlineStr">
        <is>
          <t>team_id</t>
        </is>
      </c>
      <c r="D1" s="1" t="inlineStr">
        <is>
          <t>channel</t>
        </is>
      </c>
      <c r="E1" s="1" t="inlineStr">
        <is>
          <t>resolution_hours</t>
        </is>
      </c>
      <c r="F1" s="1" t="inlineStr">
        <is>
          <t>satisfaction</t>
        </is>
      </c>
      <c r="G1" s="1" t="inlineStr">
        <is>
          <t>department</t>
        </is>
      </c>
      <c r="H1" s="1" t="inlineStr">
        <is>
          <t>breach_flag</t>
        </is>
      </c>
      <c r="I1" s="2" t="n"/>
      <c r="J1" s="3" t="inlineStr">
        <is>
          <t>Row Count Check</t>
        </is>
      </c>
      <c r="K1" s="2" t="n"/>
    </row>
    <row r="2">
      <c r="A2" s="4" t="n">
        <v>1</v>
      </c>
      <c r="B2" s="2" t="inlineStr">
        <is>
          <t>Jan</t>
        </is>
      </c>
      <c r="C2" s="2" t="inlineStr">
        <is>
          <t>T1</t>
        </is>
      </c>
      <c r="D2" s="2" t="inlineStr">
        <is>
          <t>Email</t>
        </is>
      </c>
      <c r="E2" s="5" t="n">
        <v>12</v>
      </c>
      <c r="F2" s="4" t="n">
        <v>4</v>
      </c>
      <c r="G2" s="2">
        <f>INDEX(Lookup!$C$2:$C$5,MATCH(C2,Lookup!$A$2:$A$5,0))</f>
        <v/>
      </c>
      <c r="H2" s="4">
        <f>IF(E2&gt;24,1,0)</f>
        <v/>
      </c>
      <c r="I2" s="2" t="n"/>
      <c r="J2" s="6" t="inlineStr">
        <is>
          <t>Before cleaning</t>
        </is>
      </c>
      <c r="K2" s="2" t="n">
        <v>13</v>
      </c>
    </row>
    <row r="3">
      <c r="A3" s="4" t="n">
        <v>2</v>
      </c>
      <c r="B3" s="2" t="inlineStr">
        <is>
          <t>Jan</t>
        </is>
      </c>
      <c r="C3" s="2" t="inlineStr">
        <is>
          <t>T2</t>
        </is>
      </c>
      <c r="D3" s="2" t="inlineStr">
        <is>
          <t>Chat</t>
        </is>
      </c>
      <c r="E3" s="5" t="n">
        <v>28</v>
      </c>
      <c r="F3" s="4" t="n">
        <v>3</v>
      </c>
      <c r="G3" s="2">
        <f>INDEX(Lookup!$C$2:$C$5,MATCH(C3,Lookup!$A$2:$A$5,0))</f>
        <v/>
      </c>
      <c r="H3" s="4">
        <f>IF(E3&gt;24,1,0)</f>
        <v/>
      </c>
      <c r="I3" s="2" t="n"/>
      <c r="J3" s="6" t="inlineStr">
        <is>
          <t>After cleaning</t>
        </is>
      </c>
      <c r="K3" s="2" t="n">
        <v>12</v>
      </c>
    </row>
    <row r="4">
      <c r="A4" s="4" t="n">
        <v>3</v>
      </c>
      <c r="B4" s="2" t="inlineStr">
        <is>
          <t>Jan</t>
        </is>
      </c>
      <c r="C4" s="2" t="inlineStr">
        <is>
          <t>T3</t>
        </is>
      </c>
      <c r="D4" s="2" t="inlineStr">
        <is>
          <t>Phone</t>
        </is>
      </c>
      <c r="E4" s="5" t="n">
        <v>36</v>
      </c>
      <c r="F4" s="4" t="n">
        <v>2</v>
      </c>
      <c r="G4" s="2">
        <f>INDEX(Lookup!$C$2:$C$5,MATCH(C4,Lookup!$A$2:$A$5,0))</f>
        <v/>
      </c>
      <c r="H4" s="4">
        <f>IF(E4&gt;24,1,0)</f>
        <v/>
      </c>
      <c r="I4" s="2" t="n"/>
      <c r="J4" s="6" t="inlineStr">
        <is>
          <t>Duplicates removed</t>
        </is>
      </c>
      <c r="K4" s="2" t="n">
        <v>1</v>
      </c>
    </row>
    <row r="5">
      <c r="A5" s="4" t="n">
        <v>4</v>
      </c>
      <c r="B5" s="2" t="inlineStr">
        <is>
          <t>Jan</t>
        </is>
      </c>
      <c r="C5" s="2" t="inlineStr">
        <is>
          <t>T4</t>
        </is>
      </c>
      <c r="D5" s="2" t="inlineStr">
        <is>
          <t>Email</t>
        </is>
      </c>
      <c r="E5" s="5" t="n">
        <v>20</v>
      </c>
      <c r="F5" s="4" t="n">
        <v>4</v>
      </c>
      <c r="G5" s="2">
        <f>INDEX(Lookup!$C$2:$C$5,MATCH(C5,Lookup!$A$2:$A$5,0))</f>
        <v/>
      </c>
      <c r="H5" s="4">
        <f>IF(E5&gt;24,1,0)</f>
        <v/>
      </c>
      <c r="I5" s="2" t="n"/>
      <c r="J5" s="2" t="n"/>
      <c r="K5" s="2" t="n"/>
    </row>
    <row r="6">
      <c r="A6" s="4" t="n">
        <v>5</v>
      </c>
      <c r="B6" s="2" t="inlineStr">
        <is>
          <t>Feb</t>
        </is>
      </c>
      <c r="C6" s="2" t="inlineStr">
        <is>
          <t>T1</t>
        </is>
      </c>
      <c r="D6" s="2" t="inlineStr">
        <is>
          <t>Chat</t>
        </is>
      </c>
      <c r="E6" s="5" t="n">
        <v>8</v>
      </c>
      <c r="F6" s="4" t="n">
        <v>5</v>
      </c>
      <c r="G6" s="2">
        <f>INDEX(Lookup!$C$2:$C$5,MATCH(C6,Lookup!$A$2:$A$5,0))</f>
        <v/>
      </c>
      <c r="H6" s="4">
        <f>IF(E6&gt;24,1,0)</f>
        <v/>
      </c>
      <c r="I6" s="2" t="n"/>
      <c r="J6" s="2" t="n"/>
      <c r="K6" s="2" t="n"/>
    </row>
    <row r="7">
      <c r="A7" s="4" t="n">
        <v>6</v>
      </c>
      <c r="B7" s="2" t="inlineStr">
        <is>
          <t>Feb</t>
        </is>
      </c>
      <c r="C7" s="2" t="inlineStr">
        <is>
          <t>T2</t>
        </is>
      </c>
      <c r="D7" s="2" t="inlineStr">
        <is>
          <t>Phone</t>
        </is>
      </c>
      <c r="E7" s="5" t="n">
        <v>30</v>
      </c>
      <c r="F7" s="4" t="n">
        <v>3</v>
      </c>
      <c r="G7" s="2">
        <f>INDEX(Lookup!$C$2:$C$5,MATCH(C7,Lookup!$A$2:$A$5,0))</f>
        <v/>
      </c>
      <c r="H7" s="4">
        <f>IF(E7&gt;24,1,0)</f>
        <v/>
      </c>
      <c r="I7" s="2" t="n"/>
      <c r="J7" s="2" t="n"/>
      <c r="K7" s="2" t="n"/>
    </row>
    <row r="8">
      <c r="A8" s="4" t="n">
        <v>7</v>
      </c>
      <c r="B8" s="2" t="inlineStr">
        <is>
          <t>Feb</t>
        </is>
      </c>
      <c r="C8" s="2" t="inlineStr">
        <is>
          <t>T3</t>
        </is>
      </c>
      <c r="D8" s="2" t="inlineStr">
        <is>
          <t>Email</t>
        </is>
      </c>
      <c r="E8" s="5" t="n">
        <v>18</v>
      </c>
      <c r="F8" s="4" t="n">
        <v>4</v>
      </c>
      <c r="G8" s="2">
        <f>INDEX(Lookup!$C$2:$C$5,MATCH(C8,Lookup!$A$2:$A$5,0))</f>
        <v/>
      </c>
      <c r="H8" s="4">
        <f>IF(E8&gt;24,1,0)</f>
        <v/>
      </c>
      <c r="I8" s="2" t="n"/>
      <c r="J8" s="2" t="n"/>
      <c r="K8" s="2" t="n"/>
    </row>
    <row r="9">
      <c r="A9" s="4" t="n">
        <v>8</v>
      </c>
      <c r="B9" s="2" t="inlineStr">
        <is>
          <t>Feb</t>
        </is>
      </c>
      <c r="C9" s="2" t="inlineStr">
        <is>
          <t>T4</t>
        </is>
      </c>
      <c r="D9" s="2" t="inlineStr">
        <is>
          <t>Chat</t>
        </is>
      </c>
      <c r="E9" s="5" t="n">
        <v>40</v>
      </c>
      <c r="F9" s="4" t="n">
        <v>2</v>
      </c>
      <c r="G9" s="2">
        <f>INDEX(Lookup!$C$2:$C$5,MATCH(C9,Lookup!$A$2:$A$5,0))</f>
        <v/>
      </c>
      <c r="H9" s="4">
        <f>IF(E9&gt;24,1,0)</f>
        <v/>
      </c>
      <c r="I9" s="2" t="n"/>
      <c r="J9" s="2" t="n"/>
      <c r="K9" s="2" t="n"/>
    </row>
    <row r="10">
      <c r="A10" s="4" t="n">
        <v>9</v>
      </c>
      <c r="B10" s="2" t="inlineStr">
        <is>
          <t>Mar</t>
        </is>
      </c>
      <c r="C10" s="2" t="inlineStr">
        <is>
          <t>T1</t>
        </is>
      </c>
      <c r="D10" s="2" t="inlineStr">
        <is>
          <t>Phone</t>
        </is>
      </c>
      <c r="E10" s="5" t="n">
        <v>16</v>
      </c>
      <c r="F10" s="4" t="n">
        <v>4</v>
      </c>
      <c r="G10" s="2">
        <f>INDEX(Lookup!$C$2:$C$5,MATCH(C10,Lookup!$A$2:$A$5,0))</f>
        <v/>
      </c>
      <c r="H10" s="4">
        <f>IF(E10&gt;24,1,0)</f>
        <v/>
      </c>
      <c r="I10" s="2" t="n"/>
      <c r="J10" s="2" t="n"/>
      <c r="K10" s="2" t="n"/>
    </row>
    <row r="11">
      <c r="A11" s="4" t="n">
        <v>10</v>
      </c>
      <c r="B11" s="2" t="inlineStr">
        <is>
          <t>Mar</t>
        </is>
      </c>
      <c r="C11" s="2" t="inlineStr">
        <is>
          <t>T2</t>
        </is>
      </c>
      <c r="D11" s="2" t="inlineStr">
        <is>
          <t>Email</t>
        </is>
      </c>
      <c r="E11" s="5" t="n">
        <v>22</v>
      </c>
      <c r="F11" s="4" t="n">
        <v>4</v>
      </c>
      <c r="G11" s="2">
        <f>INDEX(Lookup!$C$2:$C$5,MATCH(C11,Lookup!$A$2:$A$5,0))</f>
        <v/>
      </c>
      <c r="H11" s="4">
        <f>IF(E11&gt;24,1,0)</f>
        <v/>
      </c>
      <c r="I11" s="2" t="n"/>
      <c r="J11" s="2" t="n"/>
      <c r="K11" s="2" t="n"/>
    </row>
    <row r="12">
      <c r="A12" s="4" t="n">
        <v>11</v>
      </c>
      <c r="B12" s="2" t="inlineStr">
        <is>
          <t>Mar</t>
        </is>
      </c>
      <c r="C12" s="2" t="inlineStr">
        <is>
          <t>T3</t>
        </is>
      </c>
      <c r="D12" s="2" t="inlineStr">
        <is>
          <t>Chat</t>
        </is>
      </c>
      <c r="E12" s="5" t="n">
        <v>32</v>
      </c>
      <c r="F12" s="4" t="n">
        <v>3</v>
      </c>
      <c r="G12" s="2">
        <f>INDEX(Lookup!$C$2:$C$5,MATCH(C12,Lookup!$A$2:$A$5,0))</f>
        <v/>
      </c>
      <c r="H12" s="4">
        <f>IF(E12&gt;24,1,0)</f>
        <v/>
      </c>
      <c r="I12" s="2" t="n"/>
      <c r="J12" s="2" t="n"/>
      <c r="K12" s="2" t="n"/>
    </row>
    <row r="13">
      <c r="A13" s="4" t="n">
        <v>12</v>
      </c>
      <c r="B13" s="2" t="inlineStr">
        <is>
          <t>Mar</t>
        </is>
      </c>
      <c r="C13" s="2" t="inlineStr">
        <is>
          <t>T4</t>
        </is>
      </c>
      <c r="D13" s="2" t="inlineStr">
        <is>
          <t>Phone</t>
        </is>
      </c>
      <c r="E13" s="5" t="n">
        <v>24</v>
      </c>
      <c r="F13" s="4" t="n">
        <v>5</v>
      </c>
      <c r="G13" s="2">
        <f>INDEX(Lookup!$C$2:$C$5,MATCH(C13,Lookup!$A$2:$A$5,0))</f>
        <v/>
      </c>
      <c r="H13" s="4">
        <f>IF(E13&gt;24,1,0)</f>
        <v/>
      </c>
      <c r="I13" s="2" t="n"/>
      <c r="J13" s="2" t="n"/>
      <c r="K13" s="2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4" customWidth="1" min="3" max="3"/>
    <col width="14" customWidth="1" min="4" max="4"/>
    <col width="4" customWidth="1" min="5" max="5"/>
    <col width="16" customWidth="1" min="6" max="6"/>
  </cols>
  <sheetData>
    <row r="1">
      <c r="A1" s="7" t="inlineStr">
        <is>
          <t>Ticket Analysis Summary</t>
        </is>
      </c>
      <c r="B1" s="2" t="n"/>
      <c r="C1" s="2" t="n"/>
      <c r="D1" s="2" t="n"/>
    </row>
    <row r="2">
      <c r="A2" s="2" t="n"/>
      <c r="B2" s="2" t="n"/>
      <c r="C2" s="2" t="n"/>
      <c r="D2" s="2" t="n"/>
    </row>
    <row r="3">
      <c r="A3" s="3" t="inlineStr">
        <is>
          <t>Breached Tickets by Channel</t>
        </is>
      </c>
      <c r="B3" s="2" t="n"/>
      <c r="C3" s="2" t="n"/>
      <c r="D3" s="2" t="n"/>
    </row>
    <row r="4">
      <c r="A4" s="1" t="inlineStr">
        <is>
          <t>Channel</t>
        </is>
      </c>
      <c r="B4" s="1" t="inlineStr">
        <is>
          <t>Breached Tickets</t>
        </is>
      </c>
      <c r="C4" s="2" t="n"/>
      <c r="D4" s="2" t="n"/>
    </row>
    <row r="5">
      <c r="A5" s="2" t="inlineStr">
        <is>
          <t>Email</t>
        </is>
      </c>
      <c r="B5" s="2">
        <f>COUNTIFS(Clean!$D$2:$D$13,A5,Clean!$H$2:$H$13,1)</f>
        <v/>
      </c>
      <c r="C5" s="2" t="n"/>
      <c r="D5" s="2" t="n"/>
    </row>
    <row r="6">
      <c r="A6" s="2" t="inlineStr">
        <is>
          <t>Chat</t>
        </is>
      </c>
      <c r="B6" s="2">
        <f>COUNTIFS(Clean!$D$2:$D$13,A6,Clean!$H$2:$H$13,1)</f>
        <v/>
      </c>
      <c r="C6" s="2" t="n"/>
      <c r="D6" s="2" t="n"/>
    </row>
    <row r="7">
      <c r="A7" s="2" t="inlineStr">
        <is>
          <t>Phone</t>
        </is>
      </c>
      <c r="B7" s="2">
        <f>COUNTIFS(Clean!$D$2:$D$13,A7,Clean!$H$2:$H$13,1)</f>
        <v/>
      </c>
      <c r="C7" s="2" t="n"/>
      <c r="D7" s="2" t="n"/>
    </row>
    <row r="8">
      <c r="A8" s="2" t="n"/>
      <c r="B8" s="2" t="n"/>
      <c r="C8" s="2" t="n"/>
      <c r="D8" s="2" t="n"/>
    </row>
    <row r="9">
      <c r="A9" s="2" t="n"/>
      <c r="B9" s="2" t="n"/>
      <c r="C9" s="2" t="n"/>
      <c r="D9" s="2" t="n"/>
    </row>
    <row r="10">
      <c r="A10" s="3" t="inlineStr">
        <is>
          <t>PivotTable – Average Resolution Hours</t>
        </is>
      </c>
      <c r="B10" s="2" t="n"/>
      <c r="C10" s="2" t="n"/>
      <c r="D10" s="2" t="n"/>
    </row>
    <row r="11">
      <c r="A11" s="1" t="inlineStr">
        <is>
          <t>Department</t>
        </is>
      </c>
      <c r="B11" s="1" t="inlineStr">
        <is>
          <t>Jan</t>
        </is>
      </c>
      <c r="C11" s="1" t="inlineStr">
        <is>
          <t>Feb</t>
        </is>
      </c>
      <c r="D11" s="1" t="inlineStr">
        <is>
          <t>Mar</t>
        </is>
      </c>
    </row>
    <row r="12">
      <c r="A12" s="2" t="inlineStr">
        <is>
          <t>Service</t>
        </is>
      </c>
      <c r="B12" s="5">
        <f>IFERROR(AVERAGEIFS(Clean!$E$2:$E$13,Clean!$G$2:$G$13,$A12,Clean!$B$2:$B$13,B$11),"")</f>
        <v/>
      </c>
      <c r="C12" s="5">
        <f>IFERROR(AVERAGEIFS(Clean!$E$2:$E$13,Clean!$G$2:$G$13,$A12,Clean!$B$2:$B$13,C$11),"")</f>
        <v/>
      </c>
      <c r="D12" s="5">
        <f>IFERROR(AVERAGEIFS(Clean!$E$2:$E$13,Clean!$G$2:$G$13,$A12,Clean!$B$2:$B$13,D$11),"")</f>
        <v/>
      </c>
    </row>
    <row r="13">
      <c r="A13" s="2" t="inlineStr">
        <is>
          <t>Technical</t>
        </is>
      </c>
      <c r="B13" s="5">
        <f>IFERROR(AVERAGEIFS(Clean!$E$2:$E$13,Clean!$G$2:$G$13,$A13,Clean!$B$2:$B$13,B$11),"")</f>
        <v/>
      </c>
      <c r="C13" s="5">
        <f>IFERROR(AVERAGEIFS(Clean!$E$2:$E$13,Clean!$G$2:$G$13,$A13,Clean!$B$2:$B$13,C$11),"")</f>
        <v/>
      </c>
      <c r="D13" s="5">
        <f>IFERROR(AVERAGEIFS(Clean!$E$2:$E$13,Clean!$G$2:$G$13,$A13,Clean!$B$2:$B$13,D$11),"")</f>
        <v/>
      </c>
    </row>
    <row r="14">
      <c r="A14" s="2" t="n"/>
      <c r="B14" s="2" t="n"/>
      <c r="C14" s="2" t="n"/>
      <c r="D14" s="2" t="n"/>
    </row>
    <row r="15">
      <c r="A15" s="8" t="inlineStr">
        <is>
          <t>Rows = Department | Columns = Month | Values = Average of resolution_hours</t>
        </is>
      </c>
      <c r="B15" s="2" t="n"/>
      <c r="C15" s="2" t="n"/>
      <c r="D15" s="2" t="n"/>
    </row>
    <row r="16">
      <c r="A16" s="2" t="n"/>
      <c r="B16" s="2" t="n"/>
      <c r="C16" s="2" t="n"/>
      <c r="D16" s="2" t="n"/>
    </row>
    <row r="17">
      <c r="A17" s="2" t="n"/>
      <c r="B17" s="2" t="n"/>
      <c r="C17" s="2" t="n"/>
      <c r="D17" s="2" t="n"/>
    </row>
    <row r="18">
      <c r="A18" s="3" t="inlineStr">
        <is>
          <t>Checklist</t>
        </is>
      </c>
      <c r="B18" s="2" t="n"/>
      <c r="C18" s="2" t="n"/>
      <c r="D18" s="2" t="n"/>
    </row>
    <row r="19">
      <c r="A19" s="2" t="inlineStr">
        <is>
          <t>✓</t>
        </is>
      </c>
      <c r="B19" s="2" t="inlineStr">
        <is>
          <t>Raw: original 13 rows preserved</t>
        </is>
      </c>
      <c r="C19" s="2" t="n"/>
      <c r="D19" s="2" t="n"/>
    </row>
    <row r="20">
      <c r="A20" s="2" t="inlineStr">
        <is>
          <t>✓</t>
        </is>
      </c>
      <c r="B20" s="2" t="inlineStr">
        <is>
          <t>Lookup: 4 team rows</t>
        </is>
      </c>
      <c r="C20" s="2" t="n"/>
      <c r="D20" s="2" t="n"/>
    </row>
    <row r="21">
      <c r="A21" s="2" t="inlineStr">
        <is>
          <t>✓</t>
        </is>
      </c>
      <c r="B21" s="2" t="inlineStr">
        <is>
          <t>Clean: duplicate removed → 12 unique rows</t>
        </is>
      </c>
      <c r="C21" s="2" t="n"/>
      <c r="D21" s="2" t="n"/>
    </row>
    <row r="22">
      <c r="A22" s="2" t="inlineStr">
        <is>
          <t>✓</t>
        </is>
      </c>
      <c r="B22" s="2" t="inlineStr">
        <is>
          <t>Department: INDEX/MATCH lookup from Lookup sheet</t>
        </is>
      </c>
      <c r="C22" s="2" t="n"/>
      <c r="D22" s="2" t="n"/>
    </row>
    <row r="23">
      <c r="A23" s="2" t="inlineStr">
        <is>
          <t>✓</t>
        </is>
      </c>
      <c r="B23" s="2" t="inlineStr">
        <is>
          <t>breach_flag: IF(resolution_hours&gt;24,1,0)</t>
        </is>
      </c>
      <c r="C23" s="2" t="n"/>
      <c r="D23" s="2" t="n"/>
    </row>
    <row r="24">
      <c r="A24" s="2" t="inlineStr">
        <is>
          <t>✓</t>
        </is>
      </c>
      <c r="B24" s="2" t="inlineStr">
        <is>
          <t>Channel summary: COUNTIFS for Email, Chat, Phone</t>
        </is>
      </c>
      <c r="C24" s="2" t="n"/>
      <c r="D24" s="2" t="n"/>
    </row>
    <row r="25">
      <c r="A25" s="2" t="inlineStr">
        <is>
          <t>✓</t>
        </is>
      </c>
      <c r="B25" s="2" t="inlineStr">
        <is>
          <t>Pivot-style summary: average resolution_hours by department × month</t>
        </is>
      </c>
      <c r="C25" s="2" t="n"/>
      <c r="D25" s="2" t="n"/>
    </row>
    <row r="26">
      <c r="A26" s="2" t="inlineStr">
        <is>
          <t>✓</t>
        </is>
      </c>
      <c r="B26" s="2" t="inlineStr">
        <is>
          <t>Chart: created from the summary table</t>
        </is>
      </c>
      <c r="C26" s="2" t="n"/>
      <c r="D26" s="2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2026-10-03T05:39:31Z</dcterms:created>
  <dcterms:modified xmlns:dcterms="http://purl.org/dc/terms/" xmlns:xsi="http://www.w3.org/2001/XMLSchema-instance" xsi:type="dcterms:W3CDTF">2026-10-03T05:39:31Z</dcterms:modified>
</cp:coreProperties>
</file>